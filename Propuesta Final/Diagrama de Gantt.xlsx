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ilton\Documents\GitHub\2026_PF_Domotica_Coccaro-Mandrini\Propuesta Final\"/>
    </mc:Choice>
  </mc:AlternateContent>
  <xr:revisionPtr revIDLastSave="0" documentId="13_ncr:1_{E0C44360-9F9E-474F-806B-DAB6BD744780}" xr6:coauthVersionLast="47" xr6:coauthVersionMax="47" xr10:uidLastSave="{00000000-0000-0000-0000-000000000000}"/>
  <bookViews>
    <workbookView xWindow="-118" yWindow="-118" windowWidth="25370" windowHeight="13759" tabRatio="500" xr2:uid="{00000000-000D-0000-FFFF-FFFF00000000}"/>
  </bookViews>
  <sheets>
    <sheet name="Diagrama de Gantt" sheetId="1" r:id="rId1"/>
  </sheets>
  <calcPr calcId="191029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37" i="1" l="1"/>
  <c r="N36" i="1"/>
  <c r="L36" i="1"/>
  <c r="N35" i="1"/>
  <c r="L35" i="1"/>
  <c r="N34" i="1"/>
  <c r="L34" i="1"/>
  <c r="N33" i="1"/>
  <c r="L33" i="1"/>
  <c r="L32" i="1"/>
  <c r="N31" i="1"/>
  <c r="L31" i="1"/>
  <c r="N30" i="1"/>
  <c r="L30" i="1"/>
  <c r="N29" i="1"/>
  <c r="L29" i="1"/>
  <c r="L28" i="1"/>
  <c r="N27" i="1"/>
  <c r="L27" i="1"/>
  <c r="N26" i="1"/>
  <c r="L26" i="1"/>
  <c r="N25" i="1"/>
  <c r="L25" i="1"/>
  <c r="N24" i="1"/>
  <c r="L24" i="1"/>
  <c r="N23" i="1"/>
  <c r="L23" i="1"/>
  <c r="N22" i="1"/>
  <c r="L22" i="1"/>
  <c r="N21" i="1"/>
  <c r="L21" i="1"/>
  <c r="N20" i="1"/>
  <c r="L20" i="1"/>
  <c r="N19" i="1"/>
  <c r="L19" i="1"/>
  <c r="N18" i="1"/>
  <c r="L18" i="1"/>
  <c r="N17" i="1"/>
  <c r="L17" i="1"/>
  <c r="N16" i="1"/>
  <c r="L16" i="1"/>
  <c r="N15" i="1"/>
  <c r="L15" i="1"/>
  <c r="L14" i="1"/>
  <c r="L13" i="1"/>
  <c r="L12" i="1"/>
  <c r="L11" i="1"/>
  <c r="L10" i="1"/>
  <c r="L9" i="1"/>
  <c r="L8" i="1"/>
  <c r="L7" i="1"/>
  <c r="L6" i="1"/>
</calcChain>
</file>

<file path=xl/sharedStrings.xml><?xml version="1.0" encoding="utf-8"?>
<sst xmlns="http://schemas.openxmlformats.org/spreadsheetml/2006/main" count="202" uniqueCount="74">
  <si>
    <t>Hábitat Asistencial Seguro e Inteligente</t>
  </si>
  <si>
    <t>Integrantes:</t>
  </si>
  <si>
    <t>Cóccaro Emilio, Mandrini Alberto</t>
  </si>
  <si>
    <t>Etapa</t>
  </si>
  <si>
    <t>Tarea</t>
  </si>
  <si>
    <t>Horas
estimadas</t>
  </si>
  <si>
    <t>Inicio
estimado</t>
  </si>
  <si>
    <t>Fin
estimado</t>
  </si>
  <si>
    <t>Responsable</t>
  </si>
  <si>
    <t>Proveedor</t>
  </si>
  <si>
    <t>Plazo de
entrega</t>
  </si>
  <si>
    <t>%
Completado</t>
  </si>
  <si>
    <t>Inicio
real</t>
  </si>
  <si>
    <t>Fin
real</t>
  </si>
  <si>
    <t>Desvío
días</t>
  </si>
  <si>
    <t>Horas
reales</t>
  </si>
  <si>
    <t>Desvío
horas</t>
  </si>
  <si>
    <t>Observaciones</t>
  </si>
  <si>
    <t>Compras</t>
  </si>
  <si>
    <t>Compra: ESP32-WROOM-32</t>
  </si>
  <si>
    <t>Cóccaro</t>
  </si>
  <si>
    <t>MercadoLibre / Hobbytronica</t>
  </si>
  <si>
    <t>3–7 días hábiles</t>
  </si>
  <si>
    <t>Comprado</t>
  </si>
  <si>
    <t>Compra: Micrófono INMP441 (I2S)</t>
  </si>
  <si>
    <t>MercadoLibre</t>
  </si>
  <si>
    <t>Compra: Amplificador MAX98357A (I2S)</t>
  </si>
  <si>
    <t>Compra: Parlante 3W</t>
  </si>
  <si>
    <t>Compra: ESP32-CAM</t>
  </si>
  <si>
    <t>Mandrini</t>
  </si>
  <si>
    <t>Compra: Motores x3 + drivers (dispensador)</t>
  </si>
  <si>
    <t>5–10 días hábiles</t>
  </si>
  <si>
    <t>Compra: Sensor óptico/de peso</t>
  </si>
  <si>
    <t>Compra: Materiales de estructura (impresión 3D/acrílico)</t>
  </si>
  <si>
    <t>Proveedor local</t>
  </si>
  <si>
    <t>2–5 días hábiles</t>
  </si>
  <si>
    <t>Compra: Radar mmWave DFRobot C1001</t>
  </si>
  <si>
    <t>Ambos</t>
  </si>
  <si>
    <t>MercadoLibre (import.)</t>
  </si>
  <si>
    <t>15–30 días hábiles</t>
  </si>
  <si>
    <t>Diseño</t>
  </si>
  <si>
    <t>Definición de arquitectura general y research de componentes</t>
  </si>
  <si>
    <t>-</t>
  </si>
  <si>
    <t>Diseño del circuito de conexión ESP32 + INMP441 + MAX98357A</t>
  </si>
  <si>
    <t>Desarrollo</t>
  </si>
  <si>
    <t>Cableado físico del circuito de audio (ESP32 + INMP441 + MAX98357A)</t>
  </si>
  <si>
    <t>Programación: captura de audio I2S (micrófono)</t>
  </si>
  <si>
    <t>Programación: wake word local</t>
  </si>
  <si>
    <t>Programación: reproducción de audio I2S (parlante)</t>
  </si>
  <si>
    <t>Servidor backend en PC: integración Whisper (STT)</t>
  </si>
  <si>
    <t>Servidor backend: integración API de Claude (tool use)</t>
  </si>
  <si>
    <t>Servidor backend: integración Piper (TTS) + comunicación WiFi ESP32↔servidor</t>
  </si>
  <si>
    <t>Diseño mecánico del dispensador (estructura y compartimentos)</t>
  </si>
  <si>
    <t>Armado de los 3 motores y drivers para dosificación</t>
  </si>
  <si>
    <t>Integración de ESP32-CAM para verificación visual de retiro</t>
  </si>
  <si>
    <t>Firmware del dispensador (control de motores + lectura de cámara)</t>
  </si>
  <si>
    <t>HITO</t>
  </si>
  <si>
    <t>PRIMERA ENTREGA: ESP32 capturando audio + dispensador con motor funcionando</t>
  </si>
  <si>
    <t>★</t>
  </si>
  <si>
    <t>Integración UART del radar mmWave con el ESP32</t>
  </si>
  <si>
    <t>Calibración de detección de caídas</t>
  </si>
  <si>
    <t>Calibración de medición de signos vitales</t>
  </si>
  <si>
    <t>SEGUNDA ENTREGA: +60% de funcionalidades comprometidas</t>
  </si>
  <si>
    <t>Testeo</t>
  </si>
  <si>
    <t>Orquestación e integración de los 3 pilares</t>
  </si>
  <si>
    <t>Testeo integral y ajustes finales</t>
  </si>
  <si>
    <t>Documentación</t>
  </si>
  <si>
    <t>Documentación técnica y manual de usuario</t>
  </si>
  <si>
    <t>Preparación de la demo final</t>
  </si>
  <si>
    <t>ENTREGA FINAL: prototipo funcionando</t>
  </si>
  <si>
    <t>Referencias de etapas:</t>
  </si>
  <si>
    <t>Hito de entrega</t>
  </si>
  <si>
    <t>Nota: la etapa 'Compras' refleja los materiales ya adquiridos (100% completado), con su proveedor y plazo de entrega informado. El resto de las columnas de seguimiento (Inicio/Fin real, horas reales, desvíos) se completan durante el desarrollo del proyecto.</t>
  </si>
  <si>
    <t>Fecha estimada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</si>
</sst>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d/mm"/>
  </numFmts>
  <fonts count="9" x14ac:knownFonts="1">
    <font>
      <sz val="11"/>
      <color theme="1"/>
      <name val="Calibri"/>
      <family val="2"/>
      <charset val="1"/>
    </font>
    <font>
      <b/>
      <sz val="14"/>
      <color rgb="FF1F2937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9"/>
      <color rgb="FFFFFFFF"/>
      <name val="Arial"/>
      <charset val="1"/>
    </font>
    <font>
      <b/>
      <sz val="7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FFFFFF"/>
      <name val="Arial"/>
      <charset val="1"/>
    </font>
    <font>
      <i/>
      <sz val="8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2F3E4E"/>
        <bgColor rgb="FF1F2937"/>
      </patternFill>
    </fill>
    <fill>
      <patternFill patternType="solid">
        <fgColor rgb="FFF4E8D0"/>
        <bgColor rgb="FFFDF3E7"/>
      </patternFill>
    </fill>
    <fill>
      <patternFill patternType="solid">
        <fgColor rgb="FFEAF1FB"/>
        <bgColor rgb="FFEAF7EE"/>
      </patternFill>
    </fill>
    <fill>
      <patternFill patternType="solid">
        <fgColor rgb="FFFDF3E7"/>
        <bgColor rgb="FFF3EAFB"/>
      </patternFill>
    </fill>
    <fill>
      <patternFill patternType="solid">
        <fgColor rgb="FFC0392B"/>
        <bgColor rgb="FF993366"/>
      </patternFill>
    </fill>
    <fill>
      <patternFill patternType="solid">
        <fgColor rgb="FFEAF7EE"/>
        <bgColor rgb="FFEAF1FB"/>
      </patternFill>
    </fill>
    <fill>
      <patternFill patternType="solid">
        <fgColor rgb="FFF3EAFB"/>
        <bgColor rgb="FFEAF1FB"/>
      </patternFill>
    </fill>
    <fill>
      <patternFill patternType="solid">
        <fgColor rgb="FFC9A227"/>
        <bgColor rgb="FFE0A83A"/>
      </patternFill>
    </fill>
    <fill>
      <patternFill patternType="solid">
        <fgColor rgb="FF4A90D9"/>
        <bgColor rgb="FF666699"/>
      </patternFill>
    </fill>
    <fill>
      <patternFill patternType="solid">
        <fgColor rgb="FFE0A83A"/>
        <bgColor rgb="FFC9A227"/>
      </patternFill>
    </fill>
    <fill>
      <patternFill patternType="solid">
        <fgColor rgb="FF4AAE6B"/>
        <bgColor rgb="FF33CCCC"/>
      </patternFill>
    </fill>
    <fill>
      <patternFill patternType="solid">
        <fgColor rgb="FF9B6FC4"/>
        <bgColor rgb="FF66669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 wrapText="1"/>
    </xf>
    <xf numFmtId="165" fontId="5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9" fontId="3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164" fontId="6" fillId="6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164" fontId="3" fillId="7" borderId="1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164" fontId="3" fillId="8" borderId="1" xfId="0" applyNumberFormat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1" fillId="0" borderId="0" xfId="0" applyFont="1" applyBorder="1"/>
    <xf numFmtId="0" fontId="3" fillId="0" borderId="0" xfId="0" applyFont="1" applyBorder="1"/>
    <xf numFmtId="0" fontId="8" fillId="0" borderId="0" xfId="0" applyFont="1" applyBorder="1" applyAlignment="1">
      <alignment vertical="top" wrapText="1"/>
    </xf>
  </cellXfs>
  <cellStyles count="1">
    <cellStyle name="Normal" xfId="0" builtinId="0"/>
  </cellStyles>
  <dxfs count="5">
    <dxf>
      <fill>
        <patternFill>
          <bgColor rgb="FF9B6FC4"/>
        </patternFill>
      </fill>
    </dxf>
    <dxf>
      <fill>
        <patternFill>
          <bgColor rgb="FF4AAE6B"/>
        </patternFill>
      </fill>
    </dxf>
    <dxf>
      <fill>
        <patternFill>
          <bgColor rgb="FFE0A83A"/>
        </patternFill>
      </fill>
    </dxf>
    <dxf>
      <fill>
        <patternFill>
          <bgColor rgb="FF4A90D9"/>
        </patternFill>
      </fill>
    </dxf>
    <dxf>
      <fill>
        <patternFill>
          <bgColor rgb="FFC9A22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9B6FC4"/>
      <rgbColor rgb="FF9999FF"/>
      <rgbColor rgb="FF993366"/>
      <rgbColor rgb="FFFDF3E7"/>
      <rgbColor rgb="FFEAF7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1FB"/>
      <rgbColor rgb="FFF3EAFB"/>
      <rgbColor rgb="FFF4E8D0"/>
      <rgbColor rgb="FF99CCFF"/>
      <rgbColor rgb="FFFF99CC"/>
      <rgbColor rgb="FFCC99FF"/>
      <rgbColor rgb="FFFFCC99"/>
      <rgbColor rgb="FF4A90D9"/>
      <rgbColor rgb="FF33CCCC"/>
      <rgbColor rgb="FFC9A227"/>
      <rgbColor rgb="FFFFCC00"/>
      <rgbColor rgb="FFE0A83A"/>
      <rgbColor rgb="FFFF6600"/>
      <rgbColor rgb="FF666699"/>
      <rgbColor rgb="FF969696"/>
      <rgbColor rgb="FF003366"/>
      <rgbColor rgb="FF4AAE6B"/>
      <rgbColor rgb="FF003300"/>
      <rgbColor rgb="FF1F2937"/>
      <rgbColor rgb="FFC0392B"/>
      <rgbColor rgb="FF993366"/>
      <rgbColor rgb="FF333399"/>
      <rgbColor rgb="FF2F3E4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7"/>
  <sheetViews>
    <sheetView tabSelected="1" zoomScale="70" zoomScaleNormal="70" workbookViewId="0">
      <pane ySplit="5" topLeftCell="A6" activePane="bottomLeft" state="frozen"/>
      <selection pane="bottomLeft" activeCell="D16" sqref="D16"/>
    </sheetView>
  </sheetViews>
  <sheetFormatPr baseColWidth="10" defaultColWidth="8.6640625" defaultRowHeight="15.05" x14ac:dyDescent="0.3"/>
  <cols>
    <col min="1" max="1" width="21.33203125" bestFit="1" customWidth="1"/>
    <col min="2" max="2" width="46" customWidth="1"/>
    <col min="3" max="3" width="9.109375" bestFit="1" customWidth="1"/>
    <col min="4" max="6" width="11" customWidth="1"/>
    <col min="7" max="7" width="18" customWidth="1"/>
    <col min="8" max="8" width="13" customWidth="1"/>
    <col min="9" max="9" width="10.21875" bestFit="1" customWidth="1"/>
    <col min="10" max="11" width="11" customWidth="1"/>
    <col min="12" max="14" width="8" customWidth="1"/>
    <col min="15" max="15" width="16" customWidth="1"/>
    <col min="16" max="29" width="6" customWidth="1"/>
  </cols>
  <sheetData>
    <row r="1" spans="1:29" ht="17.7" x14ac:dyDescent="0.3">
      <c r="A1" s="31" t="s">
        <v>0</v>
      </c>
      <c r="B1" s="31"/>
      <c r="C1" s="31"/>
      <c r="D1" s="31"/>
      <c r="E1" s="31"/>
      <c r="F1" s="31"/>
    </row>
    <row r="2" spans="1:29" x14ac:dyDescent="0.3">
      <c r="A2" s="1" t="s">
        <v>1</v>
      </c>
      <c r="B2" s="32" t="s">
        <v>2</v>
      </c>
      <c r="C2" s="32"/>
      <c r="D2" s="32"/>
      <c r="E2" s="32"/>
      <c r="F2" s="32"/>
    </row>
    <row r="3" spans="1:29" x14ac:dyDescent="0.3">
      <c r="A3" s="1" t="s">
        <v>73</v>
      </c>
      <c r="B3" s="2">
        <v>46342</v>
      </c>
    </row>
    <row r="5" spans="1:29" ht="31.6" customHeight="1" x14ac:dyDescent="0.3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4">
        <v>46251</v>
      </c>
      <c r="Q5" s="4">
        <v>46258</v>
      </c>
      <c r="R5" s="4">
        <v>46265</v>
      </c>
      <c r="S5" s="4">
        <v>46272</v>
      </c>
      <c r="T5" s="4">
        <v>46279</v>
      </c>
      <c r="U5" s="4">
        <v>46286</v>
      </c>
      <c r="V5" s="4">
        <v>46293</v>
      </c>
      <c r="W5" s="4">
        <v>46300</v>
      </c>
      <c r="X5" s="4">
        <v>46307</v>
      </c>
      <c r="Y5" s="4">
        <v>46314</v>
      </c>
      <c r="Z5" s="4">
        <v>46321</v>
      </c>
      <c r="AA5" s="4">
        <v>46328</v>
      </c>
      <c r="AB5" s="4">
        <v>46335</v>
      </c>
      <c r="AC5" s="4">
        <v>46342</v>
      </c>
    </row>
    <row r="6" spans="1:29" ht="27.85" customHeight="1" x14ac:dyDescent="0.3">
      <c r="A6" s="5" t="s">
        <v>18</v>
      </c>
      <c r="B6" s="6" t="s">
        <v>19</v>
      </c>
      <c r="C6" s="5">
        <v>0</v>
      </c>
      <c r="D6" s="7">
        <v>46251</v>
      </c>
      <c r="E6" s="7">
        <v>46257</v>
      </c>
      <c r="F6" s="5" t="s">
        <v>20</v>
      </c>
      <c r="G6" s="5" t="s">
        <v>21</v>
      </c>
      <c r="H6" s="5" t="s">
        <v>22</v>
      </c>
      <c r="I6" s="8">
        <v>1</v>
      </c>
      <c r="J6" s="7">
        <v>46251</v>
      </c>
      <c r="K6" s="7">
        <v>46257</v>
      </c>
      <c r="L6" s="5">
        <f t="shared" ref="L6:L37" si="0">IF(AND(J6&lt;&gt;"",K6&lt;&gt;""),(K6-J6+1)-(E6-D6+1),"")</f>
        <v>0</v>
      </c>
      <c r="M6" s="5"/>
      <c r="N6" s="5"/>
      <c r="O6" s="6" t="s">
        <v>23</v>
      </c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 spans="1:29" ht="27.85" customHeight="1" x14ac:dyDescent="0.3">
      <c r="A7" s="5" t="s">
        <v>18</v>
      </c>
      <c r="B7" s="6" t="s">
        <v>24</v>
      </c>
      <c r="C7" s="5">
        <v>0</v>
      </c>
      <c r="D7" s="7">
        <v>46251</v>
      </c>
      <c r="E7" s="7">
        <v>46257</v>
      </c>
      <c r="F7" s="5" t="s">
        <v>20</v>
      </c>
      <c r="G7" s="5" t="s">
        <v>25</v>
      </c>
      <c r="H7" s="5" t="s">
        <v>22</v>
      </c>
      <c r="I7" s="8">
        <v>1</v>
      </c>
      <c r="J7" s="7">
        <v>46251</v>
      </c>
      <c r="K7" s="7">
        <v>46257</v>
      </c>
      <c r="L7" s="5">
        <f t="shared" si="0"/>
        <v>0</v>
      </c>
      <c r="M7" s="5"/>
      <c r="N7" s="5"/>
      <c r="O7" s="6" t="s">
        <v>23</v>
      </c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 spans="1:29" ht="27.85" customHeight="1" x14ac:dyDescent="0.3">
      <c r="A8" s="5" t="s">
        <v>18</v>
      </c>
      <c r="B8" s="6" t="s">
        <v>26</v>
      </c>
      <c r="C8" s="5">
        <v>0</v>
      </c>
      <c r="D8" s="7">
        <v>46251</v>
      </c>
      <c r="E8" s="7">
        <v>46257</v>
      </c>
      <c r="F8" s="5" t="s">
        <v>20</v>
      </c>
      <c r="G8" s="5" t="s">
        <v>25</v>
      </c>
      <c r="H8" s="5" t="s">
        <v>22</v>
      </c>
      <c r="I8" s="8">
        <v>1</v>
      </c>
      <c r="J8" s="7">
        <v>46251</v>
      </c>
      <c r="K8" s="7">
        <v>46257</v>
      </c>
      <c r="L8" s="5">
        <f t="shared" si="0"/>
        <v>0</v>
      </c>
      <c r="M8" s="5"/>
      <c r="N8" s="5"/>
      <c r="O8" s="6" t="s">
        <v>23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 spans="1:29" ht="27.85" customHeight="1" x14ac:dyDescent="0.3">
      <c r="A9" s="5" t="s">
        <v>18</v>
      </c>
      <c r="B9" s="6" t="s">
        <v>27</v>
      </c>
      <c r="C9" s="5">
        <v>0</v>
      </c>
      <c r="D9" s="7">
        <v>46251</v>
      </c>
      <c r="E9" s="7">
        <v>46257</v>
      </c>
      <c r="F9" s="5" t="s">
        <v>20</v>
      </c>
      <c r="G9" s="5" t="s">
        <v>25</v>
      </c>
      <c r="H9" s="5" t="s">
        <v>22</v>
      </c>
      <c r="I9" s="8">
        <v>1</v>
      </c>
      <c r="J9" s="7">
        <v>46251</v>
      </c>
      <c r="K9" s="7">
        <v>46257</v>
      </c>
      <c r="L9" s="5">
        <f t="shared" si="0"/>
        <v>0</v>
      </c>
      <c r="M9" s="5"/>
      <c r="N9" s="5"/>
      <c r="O9" s="6" t="s">
        <v>23</v>
      </c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 spans="1:29" ht="27.85" customHeight="1" x14ac:dyDescent="0.3">
      <c r="A10" s="5" t="s">
        <v>18</v>
      </c>
      <c r="B10" s="6" t="s">
        <v>28</v>
      </c>
      <c r="C10" s="5">
        <v>0</v>
      </c>
      <c r="D10" s="7">
        <v>46251</v>
      </c>
      <c r="E10" s="7">
        <v>46257</v>
      </c>
      <c r="F10" s="5" t="s">
        <v>29</v>
      </c>
      <c r="G10" s="5" t="s">
        <v>25</v>
      </c>
      <c r="H10" s="5" t="s">
        <v>22</v>
      </c>
      <c r="I10" s="8">
        <v>1</v>
      </c>
      <c r="J10" s="7">
        <v>46251</v>
      </c>
      <c r="K10" s="7">
        <v>46257</v>
      </c>
      <c r="L10" s="5">
        <f t="shared" si="0"/>
        <v>0</v>
      </c>
      <c r="M10" s="5"/>
      <c r="N10" s="5"/>
      <c r="O10" s="6" t="s">
        <v>23</v>
      </c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 spans="1:29" ht="27.85" customHeight="1" x14ac:dyDescent="0.3">
      <c r="A11" s="5" t="s">
        <v>18</v>
      </c>
      <c r="B11" s="6" t="s">
        <v>30</v>
      </c>
      <c r="C11" s="5">
        <v>0</v>
      </c>
      <c r="D11" s="7">
        <v>46251</v>
      </c>
      <c r="E11" s="7">
        <v>46260</v>
      </c>
      <c r="F11" s="5" t="s">
        <v>29</v>
      </c>
      <c r="G11" s="5" t="s">
        <v>25</v>
      </c>
      <c r="H11" s="5" t="s">
        <v>31</v>
      </c>
      <c r="I11" s="8">
        <v>1</v>
      </c>
      <c r="J11" s="7">
        <v>46251</v>
      </c>
      <c r="K11" s="7">
        <v>46260</v>
      </c>
      <c r="L11" s="5">
        <f t="shared" si="0"/>
        <v>0</v>
      </c>
      <c r="M11" s="5"/>
      <c r="N11" s="5"/>
      <c r="O11" s="6" t="s">
        <v>23</v>
      </c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 spans="1:29" ht="27.85" customHeight="1" x14ac:dyDescent="0.3">
      <c r="A12" s="5" t="s">
        <v>18</v>
      </c>
      <c r="B12" s="6" t="s">
        <v>32</v>
      </c>
      <c r="C12" s="5">
        <v>0</v>
      </c>
      <c r="D12" s="7">
        <v>46251</v>
      </c>
      <c r="E12" s="7">
        <v>46260</v>
      </c>
      <c r="F12" s="5" t="s">
        <v>29</v>
      </c>
      <c r="G12" s="5" t="s">
        <v>25</v>
      </c>
      <c r="H12" s="5" t="s">
        <v>31</v>
      </c>
      <c r="I12" s="8">
        <v>1</v>
      </c>
      <c r="J12" s="7">
        <v>46251</v>
      </c>
      <c r="K12" s="7">
        <v>46260</v>
      </c>
      <c r="L12" s="5">
        <f t="shared" si="0"/>
        <v>0</v>
      </c>
      <c r="M12" s="5"/>
      <c r="N12" s="5"/>
      <c r="O12" s="6" t="s">
        <v>23</v>
      </c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 spans="1:29" ht="27.85" customHeight="1" x14ac:dyDescent="0.3">
      <c r="A13" s="5" t="s">
        <v>18</v>
      </c>
      <c r="B13" s="6" t="s">
        <v>33</v>
      </c>
      <c r="C13" s="5">
        <v>0</v>
      </c>
      <c r="D13" s="7">
        <v>46251</v>
      </c>
      <c r="E13" s="7">
        <v>46255</v>
      </c>
      <c r="F13" s="5" t="s">
        <v>29</v>
      </c>
      <c r="G13" s="5" t="s">
        <v>34</v>
      </c>
      <c r="H13" s="5" t="s">
        <v>35</v>
      </c>
      <c r="I13" s="8">
        <v>1</v>
      </c>
      <c r="J13" s="7">
        <v>46251</v>
      </c>
      <c r="K13" s="7">
        <v>46255</v>
      </c>
      <c r="L13" s="5">
        <f t="shared" si="0"/>
        <v>0</v>
      </c>
      <c r="M13" s="5"/>
      <c r="N13" s="5"/>
      <c r="O13" s="6" t="s">
        <v>23</v>
      </c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 spans="1:29" ht="27.85" customHeight="1" x14ac:dyDescent="0.3">
      <c r="A14" s="5" t="s">
        <v>18</v>
      </c>
      <c r="B14" s="6" t="s">
        <v>36</v>
      </c>
      <c r="C14" s="5">
        <v>0</v>
      </c>
      <c r="D14" s="7">
        <v>46251</v>
      </c>
      <c r="E14" s="7">
        <v>46271</v>
      </c>
      <c r="F14" s="5" t="s">
        <v>37</v>
      </c>
      <c r="G14" s="5" t="s">
        <v>38</v>
      </c>
      <c r="H14" s="5" t="s">
        <v>39</v>
      </c>
      <c r="I14" s="8">
        <v>1</v>
      </c>
      <c r="J14" s="7">
        <v>46251</v>
      </c>
      <c r="K14" s="7">
        <v>46271</v>
      </c>
      <c r="L14" s="5">
        <f t="shared" si="0"/>
        <v>0</v>
      </c>
      <c r="M14" s="5"/>
      <c r="N14" s="5"/>
      <c r="O14" s="6" t="s">
        <v>23</v>
      </c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 spans="1:29" ht="27.85" customHeight="1" x14ac:dyDescent="0.3">
      <c r="A15" s="10" t="s">
        <v>40</v>
      </c>
      <c r="B15" s="11" t="s">
        <v>41</v>
      </c>
      <c r="C15" s="10">
        <v>20</v>
      </c>
      <c r="D15" s="12">
        <v>46251</v>
      </c>
      <c r="E15" s="12">
        <v>46257</v>
      </c>
      <c r="F15" s="10" t="s">
        <v>37</v>
      </c>
      <c r="G15" s="10" t="s">
        <v>42</v>
      </c>
      <c r="H15" s="10" t="s">
        <v>42</v>
      </c>
      <c r="I15" s="10"/>
      <c r="J15" s="12"/>
      <c r="K15" s="12"/>
      <c r="L15" s="10" t="str">
        <f t="shared" si="0"/>
        <v/>
      </c>
      <c r="M15" s="10"/>
      <c r="N15" s="10" t="str">
        <f t="shared" ref="N15:N27" si="1">IF(M15&lt;&gt;"",M15-C15,"")</f>
        <v/>
      </c>
      <c r="O15" s="11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 spans="1:29" ht="27.85" customHeight="1" x14ac:dyDescent="0.3">
      <c r="A16" s="10" t="s">
        <v>40</v>
      </c>
      <c r="B16" s="11" t="s">
        <v>43</v>
      </c>
      <c r="C16" s="10">
        <v>10</v>
      </c>
      <c r="D16" s="12">
        <v>46258</v>
      </c>
      <c r="E16" s="12">
        <v>46264</v>
      </c>
      <c r="F16" s="10" t="s">
        <v>20</v>
      </c>
      <c r="G16" s="10" t="s">
        <v>42</v>
      </c>
      <c r="H16" s="10" t="s">
        <v>42</v>
      </c>
      <c r="I16" s="10"/>
      <c r="J16" s="12"/>
      <c r="K16" s="12"/>
      <c r="L16" s="10" t="str">
        <f t="shared" si="0"/>
        <v/>
      </c>
      <c r="M16" s="10"/>
      <c r="N16" s="10" t="str">
        <f t="shared" si="1"/>
        <v/>
      </c>
      <c r="O16" s="11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 spans="1:29" ht="27.85" customHeight="1" x14ac:dyDescent="0.3">
      <c r="A17" s="13" t="s">
        <v>44</v>
      </c>
      <c r="B17" s="14" t="s">
        <v>45</v>
      </c>
      <c r="C17" s="13">
        <v>8</v>
      </c>
      <c r="D17" s="15">
        <v>46265</v>
      </c>
      <c r="E17" s="15">
        <v>46268</v>
      </c>
      <c r="F17" s="13" t="s">
        <v>20</v>
      </c>
      <c r="G17" s="13" t="s">
        <v>42</v>
      </c>
      <c r="H17" s="13" t="s">
        <v>42</v>
      </c>
      <c r="I17" s="13"/>
      <c r="J17" s="15"/>
      <c r="K17" s="15"/>
      <c r="L17" s="13" t="str">
        <f t="shared" si="0"/>
        <v/>
      </c>
      <c r="M17" s="13"/>
      <c r="N17" s="13" t="str">
        <f t="shared" si="1"/>
        <v/>
      </c>
      <c r="O17" s="14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</row>
    <row r="18" spans="1:29" ht="27.85" customHeight="1" x14ac:dyDescent="0.3">
      <c r="A18" s="13" t="s">
        <v>44</v>
      </c>
      <c r="B18" s="14" t="s">
        <v>46</v>
      </c>
      <c r="C18" s="13">
        <v>12</v>
      </c>
      <c r="D18" s="15">
        <v>46269</v>
      </c>
      <c r="E18" s="15">
        <v>46274</v>
      </c>
      <c r="F18" s="13" t="s">
        <v>20</v>
      </c>
      <c r="G18" s="13" t="s">
        <v>42</v>
      </c>
      <c r="H18" s="13" t="s">
        <v>42</v>
      </c>
      <c r="I18" s="13"/>
      <c r="J18" s="15"/>
      <c r="K18" s="15"/>
      <c r="L18" s="13" t="str">
        <f t="shared" si="0"/>
        <v/>
      </c>
      <c r="M18" s="13"/>
      <c r="N18" s="13" t="str">
        <f t="shared" si="1"/>
        <v/>
      </c>
      <c r="O18" s="14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</row>
    <row r="19" spans="1:29" ht="27.85" customHeight="1" x14ac:dyDescent="0.3">
      <c r="A19" s="13" t="s">
        <v>44</v>
      </c>
      <c r="B19" s="14" t="s">
        <v>47</v>
      </c>
      <c r="C19" s="13">
        <v>10</v>
      </c>
      <c r="D19" s="15">
        <v>46275</v>
      </c>
      <c r="E19" s="15">
        <v>46278</v>
      </c>
      <c r="F19" s="13" t="s">
        <v>20</v>
      </c>
      <c r="G19" s="13" t="s">
        <v>42</v>
      </c>
      <c r="H19" s="13" t="s">
        <v>42</v>
      </c>
      <c r="I19" s="13"/>
      <c r="J19" s="15"/>
      <c r="K19" s="15"/>
      <c r="L19" s="13" t="str">
        <f t="shared" si="0"/>
        <v/>
      </c>
      <c r="M19" s="13"/>
      <c r="N19" s="13" t="str">
        <f t="shared" si="1"/>
        <v/>
      </c>
      <c r="O19" s="14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 spans="1:29" ht="27.85" customHeight="1" x14ac:dyDescent="0.3">
      <c r="A20" s="13" t="s">
        <v>44</v>
      </c>
      <c r="B20" s="14" t="s">
        <v>48</v>
      </c>
      <c r="C20" s="13">
        <v>8</v>
      </c>
      <c r="D20" s="15">
        <v>46279</v>
      </c>
      <c r="E20" s="15">
        <v>46281</v>
      </c>
      <c r="F20" s="13" t="s">
        <v>20</v>
      </c>
      <c r="G20" s="13" t="s">
        <v>42</v>
      </c>
      <c r="H20" s="13" t="s">
        <v>42</v>
      </c>
      <c r="I20" s="13"/>
      <c r="J20" s="15"/>
      <c r="K20" s="15"/>
      <c r="L20" s="13" t="str">
        <f t="shared" si="0"/>
        <v/>
      </c>
      <c r="M20" s="13"/>
      <c r="N20" s="13" t="str">
        <f t="shared" si="1"/>
        <v/>
      </c>
      <c r="O20" s="14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 spans="1:29" ht="27.85" customHeight="1" x14ac:dyDescent="0.3">
      <c r="A21" s="13" t="s">
        <v>44</v>
      </c>
      <c r="B21" s="14" t="s">
        <v>49</v>
      </c>
      <c r="C21" s="13">
        <v>10</v>
      </c>
      <c r="D21" s="15">
        <v>46282</v>
      </c>
      <c r="E21" s="15">
        <v>46285</v>
      </c>
      <c r="F21" s="13" t="s">
        <v>20</v>
      </c>
      <c r="G21" s="13" t="s">
        <v>42</v>
      </c>
      <c r="H21" s="13" t="s">
        <v>42</v>
      </c>
      <c r="I21" s="13"/>
      <c r="J21" s="15"/>
      <c r="K21" s="15"/>
      <c r="L21" s="13" t="str">
        <f t="shared" si="0"/>
        <v/>
      </c>
      <c r="M21" s="13"/>
      <c r="N21" s="13" t="str">
        <f t="shared" si="1"/>
        <v/>
      </c>
      <c r="O21" s="14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 spans="1:29" ht="27.85" customHeight="1" x14ac:dyDescent="0.3">
      <c r="A22" s="13" t="s">
        <v>44</v>
      </c>
      <c r="B22" s="14" t="s">
        <v>50</v>
      </c>
      <c r="C22" s="13">
        <v>12</v>
      </c>
      <c r="D22" s="15">
        <v>46286</v>
      </c>
      <c r="E22" s="15">
        <v>46289</v>
      </c>
      <c r="F22" s="13" t="s">
        <v>20</v>
      </c>
      <c r="G22" s="13" t="s">
        <v>42</v>
      </c>
      <c r="H22" s="13" t="s">
        <v>42</v>
      </c>
      <c r="I22" s="13"/>
      <c r="J22" s="15"/>
      <c r="K22" s="15"/>
      <c r="L22" s="13" t="str">
        <f t="shared" si="0"/>
        <v/>
      </c>
      <c r="M22" s="13"/>
      <c r="N22" s="13" t="str">
        <f t="shared" si="1"/>
        <v/>
      </c>
      <c r="O22" s="14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 spans="1:29" ht="27.85" customHeight="1" x14ac:dyDescent="0.3">
      <c r="A23" s="13" t="s">
        <v>44</v>
      </c>
      <c r="B23" s="14" t="s">
        <v>51</v>
      </c>
      <c r="C23" s="13">
        <v>10</v>
      </c>
      <c r="D23" s="15">
        <v>46290</v>
      </c>
      <c r="E23" s="15">
        <v>46292</v>
      </c>
      <c r="F23" s="13" t="s">
        <v>20</v>
      </c>
      <c r="G23" s="13" t="s">
        <v>42</v>
      </c>
      <c r="H23" s="13" t="s">
        <v>42</v>
      </c>
      <c r="I23" s="13"/>
      <c r="J23" s="15"/>
      <c r="K23" s="15"/>
      <c r="L23" s="13" t="str">
        <f t="shared" si="0"/>
        <v/>
      </c>
      <c r="M23" s="13"/>
      <c r="N23" s="13" t="str">
        <f t="shared" si="1"/>
        <v/>
      </c>
      <c r="O23" s="14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 spans="1:29" ht="27.85" customHeight="1" x14ac:dyDescent="0.3">
      <c r="A24" s="13" t="s">
        <v>44</v>
      </c>
      <c r="B24" s="14" t="s">
        <v>52</v>
      </c>
      <c r="C24" s="13">
        <v>14</v>
      </c>
      <c r="D24" s="15">
        <v>46265</v>
      </c>
      <c r="E24" s="15">
        <v>46271</v>
      </c>
      <c r="F24" s="13" t="s">
        <v>29</v>
      </c>
      <c r="G24" s="13" t="s">
        <v>42</v>
      </c>
      <c r="H24" s="13" t="s">
        <v>42</v>
      </c>
      <c r="I24" s="13"/>
      <c r="J24" s="15"/>
      <c r="K24" s="15"/>
      <c r="L24" s="13" t="str">
        <f t="shared" si="0"/>
        <v/>
      </c>
      <c r="M24" s="13"/>
      <c r="N24" s="13" t="str">
        <f t="shared" si="1"/>
        <v/>
      </c>
      <c r="O24" s="14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 spans="1:29" ht="27.85" customHeight="1" x14ac:dyDescent="0.3">
      <c r="A25" s="13" t="s">
        <v>44</v>
      </c>
      <c r="B25" s="14" t="s">
        <v>53</v>
      </c>
      <c r="C25" s="13">
        <v>14</v>
      </c>
      <c r="D25" s="15">
        <v>46272</v>
      </c>
      <c r="E25" s="15">
        <v>46278</v>
      </c>
      <c r="F25" s="13" t="s">
        <v>29</v>
      </c>
      <c r="G25" s="13" t="s">
        <v>42</v>
      </c>
      <c r="H25" s="13" t="s">
        <v>42</v>
      </c>
      <c r="I25" s="13"/>
      <c r="J25" s="15"/>
      <c r="K25" s="15"/>
      <c r="L25" s="13" t="str">
        <f t="shared" si="0"/>
        <v/>
      </c>
      <c r="M25" s="13"/>
      <c r="N25" s="13" t="str">
        <f t="shared" si="1"/>
        <v/>
      </c>
      <c r="O25" s="14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</row>
    <row r="26" spans="1:29" ht="27.85" customHeight="1" x14ac:dyDescent="0.3">
      <c r="A26" s="13" t="s">
        <v>44</v>
      </c>
      <c r="B26" s="14" t="s">
        <v>54</v>
      </c>
      <c r="C26" s="13">
        <v>12</v>
      </c>
      <c r="D26" s="15">
        <v>46279</v>
      </c>
      <c r="E26" s="15">
        <v>46285</v>
      </c>
      <c r="F26" s="13" t="s">
        <v>29</v>
      </c>
      <c r="G26" s="13" t="s">
        <v>42</v>
      </c>
      <c r="H26" s="13" t="s">
        <v>42</v>
      </c>
      <c r="I26" s="13"/>
      <c r="J26" s="15"/>
      <c r="K26" s="15"/>
      <c r="L26" s="13" t="str">
        <f t="shared" si="0"/>
        <v/>
      </c>
      <c r="M26" s="13"/>
      <c r="N26" s="13" t="str">
        <f t="shared" si="1"/>
        <v/>
      </c>
      <c r="O26" s="14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</row>
    <row r="27" spans="1:29" ht="27.85" customHeight="1" x14ac:dyDescent="0.3">
      <c r="A27" s="13" t="s">
        <v>44</v>
      </c>
      <c r="B27" s="14" t="s">
        <v>55</v>
      </c>
      <c r="C27" s="13">
        <v>14</v>
      </c>
      <c r="D27" s="15">
        <v>46286</v>
      </c>
      <c r="E27" s="15">
        <v>46292</v>
      </c>
      <c r="F27" s="13" t="s">
        <v>29</v>
      </c>
      <c r="G27" s="13" t="s">
        <v>42</v>
      </c>
      <c r="H27" s="13" t="s">
        <v>42</v>
      </c>
      <c r="I27" s="13"/>
      <c r="J27" s="15"/>
      <c r="K27" s="15"/>
      <c r="L27" s="13" t="str">
        <f t="shared" si="0"/>
        <v/>
      </c>
      <c r="M27" s="13"/>
      <c r="N27" s="13" t="str">
        <f t="shared" si="1"/>
        <v/>
      </c>
      <c r="O27" s="14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 spans="1:29" ht="27.85" customHeight="1" x14ac:dyDescent="0.3">
      <c r="A28" s="16" t="s">
        <v>56</v>
      </c>
      <c r="B28" s="17" t="s">
        <v>57</v>
      </c>
      <c r="C28" s="16" t="s">
        <v>42</v>
      </c>
      <c r="D28" s="18">
        <v>46293</v>
      </c>
      <c r="E28" s="18">
        <v>46293</v>
      </c>
      <c r="F28" s="16" t="s">
        <v>37</v>
      </c>
      <c r="G28" s="16" t="s">
        <v>42</v>
      </c>
      <c r="H28" s="16" t="s">
        <v>42</v>
      </c>
      <c r="I28" s="16"/>
      <c r="J28" s="18"/>
      <c r="K28" s="18"/>
      <c r="L28" s="16" t="str">
        <f t="shared" si="0"/>
        <v/>
      </c>
      <c r="M28" s="16"/>
      <c r="N28" s="16"/>
      <c r="O28" s="17"/>
      <c r="P28" s="9"/>
      <c r="Q28" s="9"/>
      <c r="R28" s="9"/>
      <c r="S28" s="9"/>
      <c r="T28" s="9"/>
      <c r="U28" s="9"/>
      <c r="V28" s="16" t="s">
        <v>58</v>
      </c>
      <c r="W28" s="9"/>
      <c r="X28" s="9"/>
      <c r="Y28" s="9"/>
      <c r="Z28" s="9"/>
      <c r="AA28" s="9"/>
      <c r="AB28" s="9"/>
      <c r="AC28" s="9"/>
    </row>
    <row r="29" spans="1:29" ht="27.85" customHeight="1" x14ac:dyDescent="0.3">
      <c r="A29" s="13" t="s">
        <v>44</v>
      </c>
      <c r="B29" s="14" t="s">
        <v>59</v>
      </c>
      <c r="C29" s="13">
        <v>16</v>
      </c>
      <c r="D29" s="15">
        <v>46294</v>
      </c>
      <c r="E29" s="15">
        <v>46301</v>
      </c>
      <c r="F29" s="13" t="s">
        <v>37</v>
      </c>
      <c r="G29" s="13" t="s">
        <v>42</v>
      </c>
      <c r="H29" s="13" t="s">
        <v>42</v>
      </c>
      <c r="I29" s="13"/>
      <c r="J29" s="15"/>
      <c r="K29" s="15"/>
      <c r="L29" s="13" t="str">
        <f t="shared" si="0"/>
        <v/>
      </c>
      <c r="M29" s="13"/>
      <c r="N29" s="13" t="str">
        <f>IF(M29&lt;&gt;"",M29-C29,"")</f>
        <v/>
      </c>
      <c r="O29" s="14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 spans="1:29" ht="27.85" customHeight="1" x14ac:dyDescent="0.3">
      <c r="A30" s="13" t="s">
        <v>44</v>
      </c>
      <c r="B30" s="14" t="s">
        <v>60</v>
      </c>
      <c r="C30" s="13">
        <v>16</v>
      </c>
      <c r="D30" s="15">
        <v>46302</v>
      </c>
      <c r="E30" s="15">
        <v>46310</v>
      </c>
      <c r="F30" s="13" t="s">
        <v>37</v>
      </c>
      <c r="G30" s="13" t="s">
        <v>42</v>
      </c>
      <c r="H30" s="13" t="s">
        <v>42</v>
      </c>
      <c r="I30" s="13"/>
      <c r="J30" s="15"/>
      <c r="K30" s="15"/>
      <c r="L30" s="13" t="str">
        <f t="shared" si="0"/>
        <v/>
      </c>
      <c r="M30" s="13"/>
      <c r="N30" s="13" t="str">
        <f>IF(M30&lt;&gt;"",M30-C30,"")</f>
        <v/>
      </c>
      <c r="O30" s="14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 spans="1:29" ht="27.85" customHeight="1" x14ac:dyDescent="0.3">
      <c r="A31" s="13" t="s">
        <v>44</v>
      </c>
      <c r="B31" s="14" t="s">
        <v>61</v>
      </c>
      <c r="C31" s="13">
        <v>14</v>
      </c>
      <c r="D31" s="15">
        <v>46311</v>
      </c>
      <c r="E31" s="15">
        <v>46320</v>
      </c>
      <c r="F31" s="13" t="s">
        <v>37</v>
      </c>
      <c r="G31" s="13" t="s">
        <v>42</v>
      </c>
      <c r="H31" s="13" t="s">
        <v>42</v>
      </c>
      <c r="I31" s="13"/>
      <c r="J31" s="15"/>
      <c r="K31" s="15"/>
      <c r="L31" s="13" t="str">
        <f t="shared" si="0"/>
        <v/>
      </c>
      <c r="M31" s="13"/>
      <c r="N31" s="13" t="str">
        <f>IF(M31&lt;&gt;"",M31-C31,"")</f>
        <v/>
      </c>
      <c r="O31" s="14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 spans="1:29" ht="27.85" customHeight="1" x14ac:dyDescent="0.3">
      <c r="A32" s="16" t="s">
        <v>56</v>
      </c>
      <c r="B32" s="17" t="s">
        <v>62</v>
      </c>
      <c r="C32" s="16" t="s">
        <v>42</v>
      </c>
      <c r="D32" s="18">
        <v>46321</v>
      </c>
      <c r="E32" s="18">
        <v>46321</v>
      </c>
      <c r="F32" s="16" t="s">
        <v>37</v>
      </c>
      <c r="G32" s="16" t="s">
        <v>42</v>
      </c>
      <c r="H32" s="16" t="s">
        <v>42</v>
      </c>
      <c r="I32" s="16"/>
      <c r="J32" s="18"/>
      <c r="K32" s="18"/>
      <c r="L32" s="16" t="str">
        <f t="shared" si="0"/>
        <v/>
      </c>
      <c r="M32" s="16"/>
      <c r="N32" s="16"/>
      <c r="O32" s="17"/>
      <c r="P32" s="9"/>
      <c r="Q32" s="9"/>
      <c r="R32" s="9"/>
      <c r="S32" s="9"/>
      <c r="T32" s="9"/>
      <c r="U32" s="9"/>
      <c r="V32" s="9"/>
      <c r="W32" s="9"/>
      <c r="X32" s="9"/>
      <c r="Y32" s="9"/>
      <c r="Z32" s="16" t="s">
        <v>58</v>
      </c>
      <c r="AA32" s="9"/>
      <c r="AB32" s="9"/>
      <c r="AC32" s="9"/>
    </row>
    <row r="33" spans="1:29" ht="27.85" customHeight="1" x14ac:dyDescent="0.3">
      <c r="A33" s="19" t="s">
        <v>63</v>
      </c>
      <c r="B33" s="20" t="s">
        <v>64</v>
      </c>
      <c r="C33" s="19">
        <v>30</v>
      </c>
      <c r="D33" s="21">
        <v>46322</v>
      </c>
      <c r="E33" s="21">
        <v>46327</v>
      </c>
      <c r="F33" s="19" t="s">
        <v>37</v>
      </c>
      <c r="G33" s="19" t="s">
        <v>42</v>
      </c>
      <c r="H33" s="19" t="s">
        <v>42</v>
      </c>
      <c r="I33" s="19"/>
      <c r="J33" s="21"/>
      <c r="K33" s="21"/>
      <c r="L33" s="19" t="str">
        <f t="shared" si="0"/>
        <v/>
      </c>
      <c r="M33" s="19"/>
      <c r="N33" s="19" t="str">
        <f>IF(M33&lt;&gt;"",M33-C33,"")</f>
        <v/>
      </c>
      <c r="O33" s="20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 spans="1:29" ht="27.85" customHeight="1" x14ac:dyDescent="0.3">
      <c r="A34" s="19" t="s">
        <v>63</v>
      </c>
      <c r="B34" s="20" t="s">
        <v>65</v>
      </c>
      <c r="C34" s="19">
        <v>20</v>
      </c>
      <c r="D34" s="21">
        <v>46328</v>
      </c>
      <c r="E34" s="21">
        <v>46334</v>
      </c>
      <c r="F34" s="19" t="s">
        <v>37</v>
      </c>
      <c r="G34" s="19" t="s">
        <v>42</v>
      </c>
      <c r="H34" s="19" t="s">
        <v>42</v>
      </c>
      <c r="I34" s="19"/>
      <c r="J34" s="21"/>
      <c r="K34" s="21"/>
      <c r="L34" s="19" t="str">
        <f t="shared" si="0"/>
        <v/>
      </c>
      <c r="M34" s="19"/>
      <c r="N34" s="19" t="str">
        <f>IF(M34&lt;&gt;"",M34-C34,"")</f>
        <v/>
      </c>
      <c r="O34" s="20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 spans="1:29" ht="27.85" customHeight="1" x14ac:dyDescent="0.3">
      <c r="A35" s="22" t="s">
        <v>66</v>
      </c>
      <c r="B35" s="23" t="s">
        <v>67</v>
      </c>
      <c r="C35" s="22">
        <v>15</v>
      </c>
      <c r="D35" s="24">
        <v>46335</v>
      </c>
      <c r="E35" s="24">
        <v>46339</v>
      </c>
      <c r="F35" s="22" t="s">
        <v>37</v>
      </c>
      <c r="G35" s="22" t="s">
        <v>42</v>
      </c>
      <c r="H35" s="22" t="s">
        <v>42</v>
      </c>
      <c r="I35" s="22"/>
      <c r="J35" s="24"/>
      <c r="K35" s="24"/>
      <c r="L35" s="22" t="str">
        <f t="shared" si="0"/>
        <v/>
      </c>
      <c r="M35" s="22"/>
      <c r="N35" s="22" t="str">
        <f>IF(M35&lt;&gt;"",M35-C35,"")</f>
        <v/>
      </c>
      <c r="O35" s="23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 spans="1:29" ht="27.85" customHeight="1" x14ac:dyDescent="0.3">
      <c r="A36" s="22" t="s">
        <v>66</v>
      </c>
      <c r="B36" s="23" t="s">
        <v>68</v>
      </c>
      <c r="C36" s="22">
        <v>10</v>
      </c>
      <c r="D36" s="24">
        <v>46340</v>
      </c>
      <c r="E36" s="24">
        <v>46342</v>
      </c>
      <c r="F36" s="22" t="s">
        <v>37</v>
      </c>
      <c r="G36" s="22" t="s">
        <v>42</v>
      </c>
      <c r="H36" s="22" t="s">
        <v>42</v>
      </c>
      <c r="I36" s="22"/>
      <c r="J36" s="24"/>
      <c r="K36" s="24"/>
      <c r="L36" s="22" t="str">
        <f t="shared" si="0"/>
        <v/>
      </c>
      <c r="M36" s="22"/>
      <c r="N36" s="22" t="str">
        <f>IF(M36&lt;&gt;"",M36-C36,"")</f>
        <v/>
      </c>
      <c r="O36" s="23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 spans="1:29" ht="27.85" customHeight="1" x14ac:dyDescent="0.3">
      <c r="A37" s="16" t="s">
        <v>56</v>
      </c>
      <c r="B37" s="17" t="s">
        <v>69</v>
      </c>
      <c r="C37" s="16" t="s">
        <v>42</v>
      </c>
      <c r="D37" s="18">
        <v>46342</v>
      </c>
      <c r="E37" s="18">
        <v>46342</v>
      </c>
      <c r="F37" s="16" t="s">
        <v>37</v>
      </c>
      <c r="G37" s="16" t="s">
        <v>42</v>
      </c>
      <c r="H37" s="16" t="s">
        <v>42</v>
      </c>
      <c r="I37" s="16"/>
      <c r="J37" s="18"/>
      <c r="K37" s="18"/>
      <c r="L37" s="16" t="str">
        <f t="shared" si="0"/>
        <v/>
      </c>
      <c r="M37" s="16"/>
      <c r="N37" s="16"/>
      <c r="O37" s="17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16" t="s">
        <v>58</v>
      </c>
    </row>
    <row r="39" spans="1:29" x14ac:dyDescent="0.3">
      <c r="A39" s="1" t="s">
        <v>70</v>
      </c>
    </row>
    <row r="40" spans="1:29" x14ac:dyDescent="0.3">
      <c r="A40" s="25" t="s">
        <v>18</v>
      </c>
    </row>
    <row r="41" spans="1:29" x14ac:dyDescent="0.3">
      <c r="A41" s="26" t="s">
        <v>40</v>
      </c>
    </row>
    <row r="42" spans="1:29" x14ac:dyDescent="0.3">
      <c r="A42" s="27" t="s">
        <v>44</v>
      </c>
    </row>
    <row r="43" spans="1:29" x14ac:dyDescent="0.3">
      <c r="A43" s="28" t="s">
        <v>63</v>
      </c>
    </row>
    <row r="44" spans="1:29" x14ac:dyDescent="0.3">
      <c r="A44" s="29" t="s">
        <v>66</v>
      </c>
    </row>
    <row r="45" spans="1:29" x14ac:dyDescent="0.3">
      <c r="A45" s="30" t="s">
        <v>71</v>
      </c>
    </row>
    <row r="47" spans="1:29" ht="19.5" customHeight="1" x14ac:dyDescent="0.3">
      <c r="A47" s="33" t="s">
        <v>72</v>
      </c>
      <c r="B47" s="33"/>
      <c r="C47" s="33"/>
      <c r="D47" s="33"/>
      <c r="E47" s="33"/>
      <c r="F47" s="33"/>
      <c r="G47" s="33"/>
      <c r="H47" s="33"/>
    </row>
  </sheetData>
  <mergeCells count="3">
    <mergeCell ref="A1:F1"/>
    <mergeCell ref="B2:F2"/>
    <mergeCell ref="A47:H47"/>
  </mergeCells>
  <conditionalFormatting sqref="P6:AC37">
    <cfRule type="expression" dxfId="4" priority="2">
      <formula>AND($A6="Compras",P$5+6&gt;=$D6,P$5&lt;=$E6)</formula>
    </cfRule>
    <cfRule type="expression" dxfId="3" priority="3">
      <formula>AND($A6="Diseño",P$5+6&gt;=$D6,P$5&lt;=$E6)</formula>
    </cfRule>
    <cfRule type="expression" dxfId="2" priority="4">
      <formula>AND($A6="Desarrollo",P$5+6&gt;=$D6,P$5&lt;=$E6)</formula>
    </cfRule>
    <cfRule type="expression" dxfId="1" priority="5">
      <formula>AND($A6="Testeo",P$5+6&gt;=$D6,P$5&lt;=$E6)</formula>
    </cfRule>
    <cfRule type="expression" dxfId="0" priority="6">
      <formula>AND($A6="Documentación",P$5+6&gt;=$D6,P$5&lt;=$E6)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Diagrama de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Milton</cp:lastModifiedBy>
  <cp:revision>0</cp:revision>
  <dcterms:created xsi:type="dcterms:W3CDTF">2026-09-05T23:59:14Z</dcterms:created>
  <dcterms:modified xsi:type="dcterms:W3CDTF">2026-09-06T00:08:56Z</dcterms:modified>
  <dc:language>en-US</dc:language>
</cp:coreProperties>
</file>
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oyecto Final\"/>
    </mc:Choice>
  </mc:AlternateContent>
  <xr:revisionPtr revIDLastSave="0" documentId="8_{C3B58A38-7440-42CD-A52E-E9DB34A0340A}" xr6:coauthVersionLast="47" xr6:coauthVersionMax="47" xr10:uidLastSave="{00000000-0000-0000-0000-000000000000}"/>
  <bookViews>
    <workbookView xWindow="-120" yWindow="-120" windowWidth="19785" windowHeight="11760" tabRatio="500" xr2:uid="{00000000-000D-0000-FFFF-FFFF00000000}"/>
  </bookViews>
  <sheets>
    <sheet name="Diagrama de Gantt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1" l="1"/>
  <c r="L19" i="1"/>
  <c r="J19" i="1"/>
  <c r="L18" i="1"/>
  <c r="J18" i="1"/>
  <c r="L17" i="1"/>
  <c r="J17" i="1"/>
  <c r="L16" i="1"/>
  <c r="J16" i="1"/>
  <c r="J15" i="1"/>
  <c r="L14" i="1"/>
  <c r="J14" i="1"/>
  <c r="L13" i="1"/>
  <c r="J13" i="1"/>
  <c r="J12" i="1"/>
  <c r="L11" i="1"/>
  <c r="J11" i="1"/>
  <c r="L10" i="1"/>
  <c r="J10" i="1"/>
  <c r="L9" i="1"/>
  <c r="J9" i="1"/>
  <c r="L8" i="1"/>
  <c r="J8" i="1"/>
  <c r="L7" i="1"/>
  <c r="J7" i="1"/>
  <c r="L6" i="1"/>
  <c r="J6" i="1"/>
</calcChain>
</file>

<file path=xl/sharedStrings.xml><?xml version="1.0" encoding="utf-8"?>
<sst xmlns="http://schemas.openxmlformats.org/spreadsheetml/2006/main" count="67" uniqueCount="42">
  <si>
    <t>Hábitat Asistencial Seguro e Inteligente</t>
  </si>
  <si>
    <t>Integrantes:</t>
  </si>
  <si>
    <t>Etapa</t>
  </si>
  <si>
    <t>Tarea</t>
  </si>
  <si>
    <t>Horas
estimadas</t>
  </si>
  <si>
    <t>Inicio
estimado</t>
  </si>
  <si>
    <t>Fin
estimado</t>
  </si>
  <si>
    <t>Responsable</t>
  </si>
  <si>
    <t>Inicio
real</t>
  </si>
  <si>
    <t>Fin
real</t>
  </si>
  <si>
    <t>Desvío
días</t>
  </si>
  <si>
    <t>Horas
reales</t>
  </si>
  <si>
    <t>Desvío
horas</t>
  </si>
  <si>
    <t>Observaciones</t>
  </si>
  <si>
    <t>Diseño</t>
  </si>
  <si>
    <t>Definición de arquitectura general y research de componentes</t>
  </si>
  <si>
    <t>-</t>
  </si>
  <si>
    <t>Selección y compra de componentes electrónicos</t>
  </si>
  <si>
    <t>Desarrollo</t>
  </si>
  <si>
    <t>Armado y programación del cliente ESP32 (audio + wake word)</t>
  </si>
  <si>
    <t>Diseño mecánico y armado del dispensador</t>
  </si>
  <si>
    <t>Sensores de verificación y firmware del dispensador</t>
  </si>
  <si>
    <t>HITO</t>
  </si>
  <si>
    <t>Investigación e integración del radar mmWave</t>
  </si>
  <si>
    <t>Detección de caídas y signos vitales (radar)</t>
  </si>
  <si>
    <t>SEGUNDA ENTREGA: +60% de funcionalidades comprometidas</t>
  </si>
  <si>
    <t>Testeo</t>
  </si>
  <si>
    <t>Orquestación e integración de los 3 pilares</t>
  </si>
  <si>
    <t>Testeo integral y ajustes finales</t>
  </si>
  <si>
    <t>Documentación</t>
  </si>
  <si>
    <t>Documentación técnica y manual de usuario</t>
  </si>
  <si>
    <t>Preparación de la demo final</t>
  </si>
  <si>
    <t>ENTREGA FINAL: prototipo funcionando</t>
  </si>
  <si>
    <t>Referencias de etapas:</t>
  </si>
  <si>
    <t>Hito de entrega</t>
  </si>
  <si>
    <t>PRIMERA ENTREGA: ESP32 capturando audio + dispensador con motor funcionando</t>
  </si>
  <si>
    <t>Servidor backend en pc (STT + IA conversacional + TTS)</t>
  </si>
  <si>
    <t>Cóccaro Mandrini</t>
  </si>
  <si>
    <t>Ambos</t>
  </si>
  <si>
    <t>Cóccaro</t>
  </si>
  <si>
    <t>Mandrini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</si>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</sst>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"/>
  </numFmts>
  <fonts count="11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i/>
      <sz val="8"/>
      <name val="Arial"/>
      <charset val="1"/>
    </font>
    <font>
      <b/>
      <sz val="1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3E4E"/>
        <bgColor rgb="FF1F2937"/>
      </patternFill>
    </fill>
    <fill>
      <patternFill patternType="solid">
        <fgColor rgb="FFEAF1FB"/>
        <bgColor rgb="FFEAF7EE"/>
      </patternFill>
    </fill>
    <fill>
      <patternFill patternType="solid">
        <fgColor rgb="FFFDF3E7"/>
        <bgColor rgb="FFF3EAFB"/>
      </patternFill>
    </fill>
    <fill>
      <patternFill patternType="solid">
        <fgColor rgb="FFC0392B"/>
        <bgColor rgb="FF993366"/>
      </patternFill>
    </fill>
    <fill>
      <patternFill patternType="solid">
        <fgColor rgb="FFEAF7EE"/>
        <bgColor rgb="FFEAF1FB"/>
      </patternFill>
    </fill>
    <fill>
      <patternFill patternType="solid">
        <fgColor rgb="FFF3EAFB"/>
        <bgColor rgb="FFEAF1FB"/>
      </patternFill>
    </fill>
    <fill>
      <patternFill patternType="solid">
        <fgColor rgb="FF4A90D9"/>
        <bgColor rgb="FF666699"/>
      </patternFill>
    </fill>
    <fill>
      <patternFill patternType="solid">
        <fgColor rgb="FFE0A83A"/>
        <bgColor rgb="FFFFCC00"/>
      </patternFill>
    </fill>
    <fill>
      <patternFill patternType="solid">
        <fgColor rgb="FF4AAE6B"/>
        <bgColor rgb="FF33CCCC"/>
      </patternFill>
    </fill>
    <fill>
      <patternFill patternType="solid">
        <fgColor rgb="FF9B6FC4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4">
    <dxf>
      <fill>
        <patternFill>
          <bgColor rgb="FF9B6FC4"/>
        </patternFill>
      </fill>
    </dxf>
    <dxf>
      <fill>
        <patternFill>
          <bgColor rgb="FF4AAE6B"/>
        </patternFill>
      </fill>
    </dxf>
    <dxf>
      <fill>
        <patternFill>
          <bgColor rgb="FFE0A83A"/>
        </patternFill>
      </fill>
    </dxf>
    <dxf>
      <fill>
        <patternFill>
          <bgColor rgb="FF4A9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B6FC4"/>
      <rgbColor rgb="FF9999FF"/>
      <rgbColor rgb="FF993366"/>
      <rgbColor rgb="FFFDF3E7"/>
      <rgbColor rgb="FFE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3EAFB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E0A83A"/>
      <rgbColor rgb="FFFF6600"/>
      <rgbColor rgb="FF666699"/>
      <rgbColor rgb="FF969696"/>
      <rgbColor rgb="FF003366"/>
      <rgbColor rgb="FF4AAE6B"/>
      <rgbColor rgb="FF003300"/>
      <rgbColor rgb="FF1F2937"/>
      <rgbColor rgb="FFC0392B"/>
      <rgbColor rgb="FF993366"/>
      <rgbColor rgb="FF333399"/>
      <rgbColor rgb="FF2F3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zoomScale="70" zoomScaleNormal="70" workbookViewId="0">
      <pane ySplit="5" topLeftCell="A6" activePane="bottomLeft" state="frozen"/>
      <selection pane="bottomLeft" activeCell="D40" sqref="D40"/>
    </sheetView>
  </sheetViews>
  <sheetFormatPr baseColWidth="10" defaultColWidth="8.7109375" defaultRowHeight="15" x14ac:dyDescent="0.25"/>
  <cols>
    <col min="1" max="1" width="22.5703125" bestFit="1" customWidth="1"/>
    <col min="2" max="2" width="41.85546875" bestFit="1" customWidth="1"/>
    <col min="3" max="3" width="9" customWidth="1"/>
    <col min="4" max="5" width="11" customWidth="1"/>
    <col min="6" max="6" width="16" customWidth="1"/>
    <col min="7" max="7" width="10.7109375" bestFit="1" customWidth="1"/>
    <col min="8" max="9" width="11" customWidth="1"/>
    <col min="10" max="12" width="8" customWidth="1"/>
    <col min="13" max="13" width="24" customWidth="1"/>
    <col min="14" max="27" width="6" customWidth="1"/>
  </cols>
  <sheetData>
    <row r="1" spans="1:27" ht="18" x14ac:dyDescent="0.25">
      <c r="A1" s="26" t="s">
        <v>0</v>
      </c>
      <c r="B1" s="26"/>
      <c r="C1" s="26"/>
      <c r="D1" s="26"/>
      <c r="E1" s="26"/>
    </row>
    <row r="2" spans="1:27" x14ac:dyDescent="0.25">
      <c r="A2" s="28" t="s">
        <v>1</v>
      </c>
      <c r="B2" s="29" t="s">
        <v>37</v>
      </c>
      <c r="C2" s="29"/>
      <c r="D2" s="29"/>
      <c r="E2" s="29"/>
    </row>
    <row r="3" spans="1:27" x14ac:dyDescent="0.25">
      <c r="A3" s="1"/>
      <c r="B3" s="2"/>
    </row>
    <row r="5" spans="1:27" ht="30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41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4">
        <v>46251</v>
      </c>
      <c r="O5" s="4">
        <v>46258</v>
      </c>
      <c r="P5" s="4">
        <v>46265</v>
      </c>
      <c r="Q5" s="4">
        <v>46272</v>
      </c>
      <c r="R5" s="4">
        <v>46279</v>
      </c>
      <c r="S5" s="4">
        <v>46286</v>
      </c>
      <c r="T5" s="4">
        <v>46293</v>
      </c>
      <c r="U5" s="4">
        <v>46300</v>
      </c>
      <c r="V5" s="4">
        <v>46307</v>
      </c>
      <c r="W5" s="4">
        <v>46314</v>
      </c>
      <c r="X5" s="4">
        <v>46321</v>
      </c>
      <c r="Y5" s="4">
        <v>46328</v>
      </c>
      <c r="Z5" s="4">
        <v>46335</v>
      </c>
      <c r="AA5" s="4">
        <v>46342</v>
      </c>
    </row>
    <row r="6" spans="1:27" ht="30" customHeight="1" x14ac:dyDescent="0.25">
      <c r="A6" s="5" t="s">
        <v>14</v>
      </c>
      <c r="B6" s="6" t="s">
        <v>15</v>
      </c>
      <c r="C6" s="5">
        <v>20</v>
      </c>
      <c r="D6" s="7">
        <v>46251</v>
      </c>
      <c r="E6" s="7">
        <v>46257</v>
      </c>
      <c r="F6" s="5" t="s">
        <v>38</v>
      </c>
      <c r="G6" s="5"/>
      <c r="H6" s="7"/>
      <c r="I6" s="7"/>
      <c r="J6" s="5" t="str">
        <f>IF(AND(H6&lt;&gt;"",I6&lt;&gt;""),(I6-H6+1)-(E6-D6+1),"")</f>
        <v/>
      </c>
      <c r="K6" s="5"/>
      <c r="L6" s="5" t="str">
        <f>IF(K6&lt;&gt;"",K6-C6,"")</f>
        <v/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5">
      <c r="A7" s="5" t="s">
        <v>14</v>
      </c>
      <c r="B7" s="6" t="s">
        <v>17</v>
      </c>
      <c r="C7" s="5">
        <v>10</v>
      </c>
      <c r="D7" s="7">
        <v>46258</v>
      </c>
      <c r="E7" s="7">
        <v>46264</v>
      </c>
      <c r="F7" s="5" t="s">
        <v>38</v>
      </c>
      <c r="G7" s="5"/>
      <c r="H7" s="7"/>
      <c r="I7" s="7"/>
      <c r="J7" s="5" t="str">
        <f>IF(AND(H7&lt;&gt;"",I7&lt;&gt;""),(I7-H7+1)-(E7-D7+1),"")</f>
        <v/>
      </c>
      <c r="K7" s="5"/>
      <c r="L7" s="5" t="str">
        <f>IF(K7&lt;&gt;"",K7-C7,"")</f>
        <v/>
      </c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30" customHeight="1" x14ac:dyDescent="0.25">
      <c r="A8" s="9" t="s">
        <v>18</v>
      </c>
      <c r="B8" s="10" t="s">
        <v>19</v>
      </c>
      <c r="C8" s="9">
        <v>40</v>
      </c>
      <c r="D8" s="11">
        <v>46265</v>
      </c>
      <c r="E8" s="11">
        <v>46278</v>
      </c>
      <c r="F8" s="9" t="s">
        <v>39</v>
      </c>
      <c r="G8" s="9"/>
      <c r="H8" s="11"/>
      <c r="I8" s="11"/>
      <c r="J8" s="9" t="str">
        <f>IF(AND(H8&lt;&gt;"",I8&lt;&gt;""),(I8-H8+1)-(E8-D8+1),"")</f>
        <v/>
      </c>
      <c r="K8" s="9"/>
      <c r="L8" s="9" t="str">
        <f>IF(K8&lt;&gt;"",K8-C8,"")</f>
        <v/>
      </c>
      <c r="M8" s="10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30" customHeight="1" x14ac:dyDescent="0.25">
      <c r="A9" s="9" t="s">
        <v>18</v>
      </c>
      <c r="B9" s="10" t="s">
        <v>20</v>
      </c>
      <c r="C9" s="9">
        <v>40</v>
      </c>
      <c r="D9" s="11">
        <v>46265</v>
      </c>
      <c r="E9" s="11">
        <v>46278</v>
      </c>
      <c r="F9" s="9" t="s">
        <v>40</v>
      </c>
      <c r="G9" s="9"/>
      <c r="H9" s="11"/>
      <c r="I9" s="11"/>
      <c r="J9" s="9" t="str">
        <f>IF(AND(H9&lt;&gt;"",I9&lt;&gt;""),(I9-H9+1)-(E9-D9+1),"")</f>
        <v/>
      </c>
      <c r="K9" s="9"/>
      <c r="L9" s="9" t="str">
        <f>IF(K9&lt;&gt;"",K9-C9,"")</f>
        <v/>
      </c>
      <c r="M9" s="10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30" customHeight="1" x14ac:dyDescent="0.25">
      <c r="A10" s="9" t="s">
        <v>18</v>
      </c>
      <c r="B10" s="10" t="s">
        <v>36</v>
      </c>
      <c r="C10" s="9">
        <v>35</v>
      </c>
      <c r="D10" s="11">
        <v>46279</v>
      </c>
      <c r="E10" s="11">
        <v>46292</v>
      </c>
      <c r="F10" s="9" t="s">
        <v>39</v>
      </c>
      <c r="G10" s="9"/>
      <c r="H10" s="11"/>
      <c r="I10" s="11"/>
      <c r="J10" s="9" t="str">
        <f>IF(AND(H10&lt;&gt;"",I10&lt;&gt;""),(I10-H10+1)-(E10-D10+1),"")</f>
        <v/>
      </c>
      <c r="K10" s="9"/>
      <c r="L10" s="9" t="str">
        <f>IF(K10&lt;&gt;"",K10-C10,"")</f>
        <v/>
      </c>
      <c r="M10" s="10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30" customHeight="1" x14ac:dyDescent="0.25">
      <c r="A11" s="9" t="s">
        <v>18</v>
      </c>
      <c r="B11" s="10" t="s">
        <v>21</v>
      </c>
      <c r="C11" s="9">
        <v>35</v>
      </c>
      <c r="D11" s="11">
        <v>46279</v>
      </c>
      <c r="E11" s="11">
        <v>46292</v>
      </c>
      <c r="F11" s="9" t="s">
        <v>40</v>
      </c>
      <c r="G11" s="9"/>
      <c r="H11" s="11"/>
      <c r="I11" s="11"/>
      <c r="J11" s="9" t="str">
        <f>IF(AND(H11&lt;&gt;"",I11&lt;&gt;""),(I11-H11+1)-(E11-D11+1),"")</f>
        <v/>
      </c>
      <c r="K11" s="9"/>
      <c r="L11" s="9" t="str">
        <f>IF(K11&lt;&gt;"",K11-C11,"")</f>
        <v/>
      </c>
      <c r="M11" s="10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8.25" x14ac:dyDescent="0.25">
      <c r="A12" s="12" t="s">
        <v>22</v>
      </c>
      <c r="B12" s="13" t="s">
        <v>35</v>
      </c>
      <c r="C12" s="12" t="s">
        <v>16</v>
      </c>
      <c r="D12" s="14">
        <v>46293</v>
      </c>
      <c r="E12" s="14">
        <v>46293</v>
      </c>
      <c r="F12" s="12"/>
      <c r="G12" s="12"/>
      <c r="H12" s="14"/>
      <c r="I12" s="14"/>
      <c r="J12" s="12" t="str">
        <f>IF(AND(H12&lt;&gt;"",I12&lt;&gt;""),(I12-H12+1)-(E12-D12+1),"")</f>
        <v/>
      </c>
      <c r="K12" s="12"/>
      <c r="L12" s="12"/>
      <c r="M12" s="13"/>
      <c r="N12" s="8"/>
      <c r="O12" s="8"/>
      <c r="P12" s="8"/>
      <c r="Q12" s="8"/>
      <c r="R12" s="8"/>
      <c r="S12" s="8"/>
      <c r="T12" s="12"/>
      <c r="U12" s="8"/>
      <c r="V12" s="8"/>
      <c r="W12" s="8"/>
      <c r="X12" s="8"/>
      <c r="Y12" s="8"/>
      <c r="Z12" s="8"/>
      <c r="AA12" s="8"/>
    </row>
    <row r="13" spans="1:27" ht="30" customHeight="1" x14ac:dyDescent="0.25">
      <c r="A13" s="9" t="s">
        <v>18</v>
      </c>
      <c r="B13" s="10" t="s">
        <v>23</v>
      </c>
      <c r="C13" s="9">
        <v>30</v>
      </c>
      <c r="D13" s="11">
        <v>46294</v>
      </c>
      <c r="E13" s="11">
        <v>46306</v>
      </c>
      <c r="F13" s="9" t="s">
        <v>38</v>
      </c>
      <c r="G13" s="9"/>
      <c r="H13" s="11"/>
      <c r="I13" s="11"/>
      <c r="J13" s="9" t="str">
        <f>IF(AND(H13&lt;&gt;"",I13&lt;&gt;""),(I13-H13+1)-(E13-D13+1),"")</f>
        <v/>
      </c>
      <c r="K13" s="9"/>
      <c r="L13" s="9" t="str">
        <f>IF(K13&lt;&gt;"",K13-C13,"")</f>
        <v/>
      </c>
      <c r="M13" s="10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0" customHeight="1" x14ac:dyDescent="0.25">
      <c r="A14" s="9" t="s">
        <v>18</v>
      </c>
      <c r="B14" s="10" t="s">
        <v>24</v>
      </c>
      <c r="C14" s="9">
        <v>30</v>
      </c>
      <c r="D14" s="11">
        <v>46307</v>
      </c>
      <c r="E14" s="11">
        <v>46320</v>
      </c>
      <c r="F14" s="9" t="s">
        <v>38</v>
      </c>
      <c r="G14" s="9"/>
      <c r="H14" s="11"/>
      <c r="I14" s="11"/>
      <c r="J14" s="9" t="str">
        <f>IF(AND(H14&lt;&gt;"",I14&lt;&gt;""),(I14-H14+1)-(E14-D14+1),"")</f>
        <v/>
      </c>
      <c r="K14" s="9"/>
      <c r="L14" s="9" t="str">
        <f>IF(K14&lt;&gt;"",K14-C14,"")</f>
        <v/>
      </c>
      <c r="M14" s="10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30" customHeight="1" x14ac:dyDescent="0.25">
      <c r="A15" s="12" t="s">
        <v>22</v>
      </c>
      <c r="B15" s="13" t="s">
        <v>25</v>
      </c>
      <c r="C15" s="12" t="s">
        <v>16</v>
      </c>
      <c r="D15" s="14">
        <v>46321</v>
      </c>
      <c r="E15" s="14">
        <v>46321</v>
      </c>
      <c r="F15" s="12"/>
      <c r="G15" s="12"/>
      <c r="H15" s="14"/>
      <c r="I15" s="14"/>
      <c r="J15" s="12" t="str">
        <f>IF(AND(H15&lt;&gt;"",I15&lt;&gt;""),(I15-H15+1)-(E15-D15+1),"")</f>
        <v/>
      </c>
      <c r="K15" s="12"/>
      <c r="L15" s="12"/>
      <c r="M15" s="13"/>
      <c r="N15" s="8"/>
      <c r="O15" s="8"/>
      <c r="P15" s="8"/>
      <c r="Q15" s="8"/>
      <c r="R15" s="8"/>
      <c r="S15" s="8"/>
      <c r="T15" s="8"/>
      <c r="U15" s="8"/>
      <c r="V15" s="8"/>
      <c r="W15" s="8"/>
      <c r="X15" s="12"/>
      <c r="Y15" s="8"/>
      <c r="Z15" s="8"/>
      <c r="AA15" s="8"/>
    </row>
    <row r="16" spans="1:27" ht="30" customHeight="1" x14ac:dyDescent="0.25">
      <c r="A16" s="15" t="s">
        <v>26</v>
      </c>
      <c r="B16" s="16" t="s">
        <v>27</v>
      </c>
      <c r="C16" s="15">
        <v>30</v>
      </c>
      <c r="D16" s="17">
        <v>46322</v>
      </c>
      <c r="E16" s="17">
        <v>46327</v>
      </c>
      <c r="F16" s="15" t="s">
        <v>38</v>
      </c>
      <c r="G16" s="15"/>
      <c r="H16" s="17"/>
      <c r="I16" s="17"/>
      <c r="J16" s="15" t="str">
        <f>IF(AND(H16&lt;&gt;"",I16&lt;&gt;""),(I16-H16+1)-(E16-D16+1),"")</f>
        <v/>
      </c>
      <c r="K16" s="15"/>
      <c r="L16" s="15" t="str">
        <f>IF(K16&lt;&gt;"",K16-C16,"")</f>
        <v/>
      </c>
      <c r="M16" s="1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30" customHeight="1" x14ac:dyDescent="0.25">
      <c r="A17" s="15" t="s">
        <v>26</v>
      </c>
      <c r="B17" s="16" t="s">
        <v>28</v>
      </c>
      <c r="C17" s="15">
        <v>20</v>
      </c>
      <c r="D17" s="17">
        <v>46328</v>
      </c>
      <c r="E17" s="17">
        <v>46334</v>
      </c>
      <c r="F17" s="15" t="s">
        <v>38</v>
      </c>
      <c r="G17" s="15"/>
      <c r="H17" s="17"/>
      <c r="I17" s="17"/>
      <c r="J17" s="15" t="str">
        <f>IF(AND(H17&lt;&gt;"",I17&lt;&gt;""),(I17-H17+1)-(E17-D17+1),"")</f>
        <v/>
      </c>
      <c r="K17" s="15"/>
      <c r="L17" s="15" t="str">
        <f>IF(K17&lt;&gt;"",K17-C17,"")</f>
        <v/>
      </c>
      <c r="M17" s="1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0" customHeight="1" x14ac:dyDescent="0.25">
      <c r="A18" s="18" t="s">
        <v>29</v>
      </c>
      <c r="B18" s="19" t="s">
        <v>30</v>
      </c>
      <c r="C18" s="18">
        <v>15</v>
      </c>
      <c r="D18" s="20">
        <v>46335</v>
      </c>
      <c r="E18" s="20">
        <v>46339</v>
      </c>
      <c r="F18" s="18" t="s">
        <v>38</v>
      </c>
      <c r="G18" s="18"/>
      <c r="H18" s="20"/>
      <c r="I18" s="20"/>
      <c r="J18" s="18" t="str">
        <f>IF(AND(H18&lt;&gt;"",I18&lt;&gt;""),(I18-H18+1)-(E18-D18+1),"")</f>
        <v/>
      </c>
      <c r="K18" s="18"/>
      <c r="L18" s="18" t="str">
        <f>IF(K18&lt;&gt;"",K18-C18,"")</f>
        <v/>
      </c>
      <c r="M18" s="1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30" customHeight="1" x14ac:dyDescent="0.25">
      <c r="A19" s="18" t="s">
        <v>29</v>
      </c>
      <c r="B19" s="19" t="s">
        <v>31</v>
      </c>
      <c r="C19" s="18">
        <v>10</v>
      </c>
      <c r="D19" s="20">
        <v>46340</v>
      </c>
      <c r="E19" s="20">
        <v>46342</v>
      </c>
      <c r="F19" s="18" t="s">
        <v>38</v>
      </c>
      <c r="G19" s="18"/>
      <c r="H19" s="20"/>
      <c r="I19" s="20"/>
      <c r="J19" s="18" t="str">
        <f>IF(AND(H19&lt;&gt;"",I19&lt;&gt;""),(I19-H19+1)-(E19-D19+1),"")</f>
        <v/>
      </c>
      <c r="K19" s="18"/>
      <c r="L19" s="18" t="str">
        <f>IF(K19&lt;&gt;"",K19-C19,"")</f>
        <v/>
      </c>
      <c r="M19" s="1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30" customHeight="1" x14ac:dyDescent="0.25">
      <c r="A20" s="12" t="s">
        <v>22</v>
      </c>
      <c r="B20" s="13" t="s">
        <v>32</v>
      </c>
      <c r="C20" s="12" t="s">
        <v>16</v>
      </c>
      <c r="D20" s="14">
        <v>46342</v>
      </c>
      <c r="E20" s="14">
        <v>46342</v>
      </c>
      <c r="F20" s="12"/>
      <c r="G20" s="12"/>
      <c r="H20" s="14"/>
      <c r="I20" s="14"/>
      <c r="J20" s="12" t="str">
        <f>IF(AND(H20&lt;&gt;"",I20&lt;&gt;""),(I20-H20+1)-(E20-D20+1),"")</f>
        <v/>
      </c>
      <c r="K20" s="12"/>
      <c r="L20" s="12"/>
      <c r="M20" s="13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2"/>
    </row>
    <row r="22" spans="1:27" x14ac:dyDescent="0.25">
      <c r="A22" s="1" t="s">
        <v>33</v>
      </c>
    </row>
    <row r="23" spans="1:27" x14ac:dyDescent="0.25">
      <c r="A23" s="21" t="s">
        <v>14</v>
      </c>
    </row>
    <row r="24" spans="1:27" x14ac:dyDescent="0.25">
      <c r="A24" s="22" t="s">
        <v>18</v>
      </c>
    </row>
    <row r="25" spans="1:27" x14ac:dyDescent="0.25">
      <c r="A25" s="23" t="s">
        <v>26</v>
      </c>
    </row>
    <row r="26" spans="1:27" x14ac:dyDescent="0.25">
      <c r="A26" s="24" t="s">
        <v>29</v>
      </c>
    </row>
    <row r="27" spans="1:27" x14ac:dyDescent="0.25">
      <c r="A27" s="25" t="s">
        <v>34</v>
      </c>
    </row>
    <row r="29" spans="1:27" ht="15" customHeight="1" x14ac:dyDescent="0.25">
      <c r="A29" s="27"/>
      <c r="B29" s="27"/>
      <c r="C29" s="27"/>
      <c r="D29" s="27"/>
      <c r="E29" s="27"/>
      <c r="F29" s="27"/>
      <c r="G29" s="27"/>
    </row>
  </sheetData>
  <mergeCells count="3">
    <mergeCell ref="A1:E1"/>
    <mergeCell ref="B2:E2"/>
    <mergeCell ref="A29:G29"/>
  </mergeCells>
  <conditionalFormatting sqref="N6:AA20">
    <cfRule type="expression" dxfId="3" priority="2">
      <formula>AND($A6="Diseño",N$5+6&gt;=$D6,N$5&lt;=$E6)</formula>
    </cfRule>
    <cfRule type="expression" dxfId="2" priority="3">
      <formula>AND($A6="Desarrollo",N$5+6&gt;=$D6,N$5&lt;=$E6)</formula>
    </cfRule>
    <cfRule type="expression" dxfId="1" priority="4">
      <formula>AND($A6="Testeo",N$5+6&gt;=$D6,N$5&lt;=$E6)</formula>
    </cfRule>
    <cfRule type="expression" dxfId="0" priority="5">
      <formula>AND($A6="Documentación",N$5+6&gt;=$D6,N$5&lt;=$E6)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2026-08-25T12:47:25Z</dcterms:created>
  <dcterms:modified xsi:type="dcterms:W3CDTF">2026-08-27T15:19:55Z</dcterms:modified>
  <dc:language>en-US</dc:language>
</cp:coreProperties>
</file>